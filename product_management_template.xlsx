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2dcb6fc2c51f2c2f/Desktop/"/>
    </mc:Choice>
  </mc:AlternateContent>
  <xr:revisionPtr revIDLastSave="54" documentId="8_{B8F6AB3F-9708-400C-B1A3-D16FDE245F63}" xr6:coauthVersionLast="47" xr6:coauthVersionMax="47" xr10:uidLastSave="{23584588-8893-4CF1-9BF3-F44B96EB7D5A}"/>
  <bookViews>
    <workbookView xWindow="-110" yWindow="-110" windowWidth="19420" windowHeight="10300" xr2:uid="{00000000-000D-0000-FFFF-FFFF00000000}"/>
  </bookViews>
  <sheets>
    <sheet name="Product List" sheetId="1" r:id="rId1"/>
    <sheet name="Sheet1" sheetId="3" r:id="rId2"/>
    <sheet name="Purchase Entries" sheetId="2" r:id="rId3"/>
  </sheets>
  <definedNames>
    <definedName name="_xlnm._FilterDatabase" localSheetId="0" hidden="1">'Product List'!$A$1:$F$1</definedName>
    <definedName name="_xlnm._FilterDatabase" localSheetId="2" hidden="1">'Purchase Entries'!$A$1:$I$24</definedName>
  </definedNames>
  <calcPr calcId="191029"/>
  <fileRecoveryPr repairLoad="1"/>
</workbook>
</file>

<file path=xl/calcChain.xml><?xml version="1.0" encoding="utf-8"?>
<calcChain xmlns="http://schemas.openxmlformats.org/spreadsheetml/2006/main">
  <c r="C37" i="1" l="1"/>
  <c r="C38" i="1"/>
  <c r="C39" i="1"/>
  <c r="C40" i="1"/>
  <c r="C41" i="1"/>
  <c r="C36" i="1"/>
  <c r="C35" i="1"/>
  <c r="C34" i="1"/>
  <c r="C29" i="1"/>
  <c r="C30" i="1"/>
  <c r="C31" i="1"/>
  <c r="C32" i="1"/>
  <c r="C33" i="1"/>
  <c r="C26" i="1"/>
  <c r="C28" i="1"/>
  <c r="C23" i="1"/>
  <c r="C24" i="1"/>
  <c r="C25" i="1"/>
  <c r="C22" i="1"/>
  <c r="C27" i="1"/>
  <c r="C18" i="1"/>
  <c r="C19" i="1"/>
  <c r="C20" i="1"/>
  <c r="C21" i="1"/>
  <c r="C17" i="1"/>
  <c r="C16" i="1"/>
  <c r="C15" i="1"/>
  <c r="C6" i="1"/>
  <c r="C14" i="1"/>
  <c r="C13" i="1"/>
  <c r="C3" i="1"/>
  <c r="C4" i="1"/>
  <c r="C5" i="1"/>
  <c r="D6" i="2" s="1"/>
  <c r="C7" i="1"/>
  <c r="C8" i="1"/>
  <c r="C9" i="1"/>
  <c r="C10" i="1"/>
  <c r="C11" i="1"/>
  <c r="C12" i="1"/>
  <c r="C2" i="1"/>
  <c r="C4" i="2" s="1"/>
  <c r="D24" i="2" l="1"/>
  <c r="C24" i="2"/>
  <c r="E23" i="2"/>
  <c r="C9" i="2"/>
  <c r="D23" i="2"/>
  <c r="C23" i="2"/>
  <c r="E3" i="2"/>
  <c r="I3" i="2" s="1"/>
  <c r="E22" i="2"/>
  <c r="D22" i="2"/>
  <c r="E24" i="2"/>
  <c r="C22" i="2"/>
  <c r="D5" i="2"/>
  <c r="C5" i="2"/>
  <c r="E2" i="2"/>
  <c r="I2" i="2" s="1"/>
  <c r="D7" i="2"/>
  <c r="E4" i="2"/>
  <c r="I4" i="2" s="1"/>
  <c r="E8" i="2"/>
  <c r="I8" i="2" s="1"/>
  <c r="D3" i="2"/>
  <c r="D8" i="2"/>
  <c r="C3" i="2"/>
  <c r="C8" i="2"/>
  <c r="E9" i="2"/>
  <c r="I9" i="2" s="1"/>
  <c r="C7" i="2"/>
  <c r="D4" i="2"/>
  <c r="C6" i="2"/>
  <c r="E5" i="2"/>
  <c r="I5" i="2" s="1"/>
  <c r="C2" i="2"/>
  <c r="D2" i="2"/>
  <c r="E7" i="2"/>
  <c r="I7" i="2" s="1"/>
  <c r="D9" i="2"/>
  <c r="E6" i="2"/>
  <c r="I6" i="2" s="1"/>
  <c r="C15" i="2"/>
  <c r="C12" i="2"/>
  <c r="C17" i="2"/>
  <c r="D14" i="2"/>
  <c r="E11" i="2"/>
  <c r="I11" i="2" s="1"/>
  <c r="D21" i="2"/>
  <c r="E18" i="2"/>
  <c r="I18" i="2" s="1"/>
  <c r="E16" i="2"/>
  <c r="I16" i="2" s="1"/>
  <c r="C14" i="2"/>
  <c r="D11" i="2"/>
  <c r="C21" i="2"/>
  <c r="D18" i="2"/>
  <c r="E20" i="2"/>
  <c r="I20" i="2" s="1"/>
  <c r="C18" i="2"/>
  <c r="E17" i="2"/>
  <c r="I17" i="2" s="1"/>
  <c r="E13" i="2"/>
  <c r="I13" i="2" s="1"/>
  <c r="C16" i="2"/>
  <c r="E10" i="2"/>
  <c r="I10" i="2" s="1"/>
  <c r="D20" i="2"/>
  <c r="D12" i="2"/>
  <c r="D19" i="2"/>
  <c r="E14" i="2"/>
  <c r="I14" i="2" s="1"/>
  <c r="D16" i="2"/>
  <c r="C11" i="2"/>
  <c r="D13" i="2"/>
  <c r="E15" i="2"/>
  <c r="I15" i="2" s="1"/>
  <c r="C13" i="2"/>
  <c r="D10" i="2"/>
  <c r="C20" i="2"/>
  <c r="D15" i="2"/>
  <c r="E12" i="2"/>
  <c r="I12" i="2" s="1"/>
  <c r="C10" i="2"/>
  <c r="E19" i="2"/>
  <c r="I19" i="2" s="1"/>
  <c r="D17" i="2"/>
  <c r="E21" i="2"/>
  <c r="I21" i="2" s="1"/>
  <c r="C19" i="2"/>
</calcChain>
</file>

<file path=xl/sharedStrings.xml><?xml version="1.0" encoding="utf-8"?>
<sst xmlns="http://schemas.openxmlformats.org/spreadsheetml/2006/main" count="205" uniqueCount="120">
  <si>
    <t>Product ID</t>
  </si>
  <si>
    <t>Product Name</t>
  </si>
  <si>
    <t>Butter</t>
  </si>
  <si>
    <t>Supplier</t>
  </si>
  <si>
    <t>Quantity</t>
  </si>
  <si>
    <t>Price</t>
  </si>
  <si>
    <t>Date of Purchase</t>
  </si>
  <si>
    <t>Notes</t>
  </si>
  <si>
    <t>Total</t>
  </si>
  <si>
    <t>Cheese Mozorella</t>
  </si>
  <si>
    <t>Cheese Liquid</t>
  </si>
  <si>
    <t>Cheese Slice</t>
  </si>
  <si>
    <t>Pizaa Base 10 inch</t>
  </si>
  <si>
    <t>Pizaa Base 7 inch</t>
  </si>
  <si>
    <t>Burgure</t>
  </si>
  <si>
    <t>Jambo_Bread</t>
  </si>
  <si>
    <t>Totrilla_Wrap</t>
  </si>
  <si>
    <t>Milk Product_1</t>
  </si>
  <si>
    <t>Milk Product_2</t>
  </si>
  <si>
    <t>Milk Product_3</t>
  </si>
  <si>
    <t>Milk Product_4</t>
  </si>
  <si>
    <t>Bread Product_1</t>
  </si>
  <si>
    <t>Bread Product_2</t>
  </si>
  <si>
    <t>Bread Product_3</t>
  </si>
  <si>
    <t>Bread Product_4</t>
  </si>
  <si>
    <t>Bread Product_5</t>
  </si>
  <si>
    <t xml:space="preserve">Product List </t>
  </si>
  <si>
    <t>Sauces Product_1</t>
  </si>
  <si>
    <t>Sauces Product_2</t>
  </si>
  <si>
    <t>Sauces Product_3</t>
  </si>
  <si>
    <t>Sauces Product_4</t>
  </si>
  <si>
    <t>Sauces Product_5</t>
  </si>
  <si>
    <t>Sauces Product_6</t>
  </si>
  <si>
    <t>Mayonnaise_white</t>
  </si>
  <si>
    <t>Tandoori_Mayonnise</t>
  </si>
  <si>
    <t>Pizaapasta</t>
  </si>
  <si>
    <t>Milk Product_5</t>
  </si>
  <si>
    <t>Siracha</t>
  </si>
  <si>
    <t>Salsa</t>
  </si>
  <si>
    <t>Tomato ketchup</t>
  </si>
  <si>
    <t>Blink IT</t>
  </si>
  <si>
    <t>Kailash_Mandir</t>
  </si>
  <si>
    <t>Shiv Dairy</t>
  </si>
  <si>
    <t>Gupta Ji</t>
  </si>
  <si>
    <t>Delicious Brakrey</t>
  </si>
  <si>
    <t xml:space="preserve">Amit </t>
  </si>
  <si>
    <t>Paneer per kg</t>
  </si>
  <si>
    <t>Milk Product_1_ Cheese Mozorella</t>
  </si>
  <si>
    <t>Milk Product_2_ Butter</t>
  </si>
  <si>
    <t>Milk Product_3_ Cheese Liquid</t>
  </si>
  <si>
    <t>Milk Product_4_ Cheese Slice</t>
  </si>
  <si>
    <t>Milk Product_5_ Paneer per kg</t>
  </si>
  <si>
    <t>Bread Product_1_ Jambo_Bread</t>
  </si>
  <si>
    <t>Bread Product_2_ Pizaa Base 10 inch</t>
  </si>
  <si>
    <t>Bread Product_3_ Pizaa Base 7 inch</t>
  </si>
  <si>
    <t>Bread Product_4_ Burgure</t>
  </si>
  <si>
    <t>Bread Product_5_ Totrilla_Wrap</t>
  </si>
  <si>
    <t>Sauces Product_1_ Mayonnaise_white</t>
  </si>
  <si>
    <t>Sauces Product_2_ Tandoori_Mayonnise</t>
  </si>
  <si>
    <t>Sauces Product_3_ Pizaapasta</t>
  </si>
  <si>
    <t>Sauces Product_4_ Siracha</t>
  </si>
  <si>
    <t>Sauces Product_5_ Salsa</t>
  </si>
  <si>
    <t>Sauces Product_6_ Tomato ketchup</t>
  </si>
  <si>
    <t>S. Number</t>
  </si>
  <si>
    <t>Spice Product_1</t>
  </si>
  <si>
    <t>Spice Product_2</t>
  </si>
  <si>
    <t>Spice Product_3</t>
  </si>
  <si>
    <t>Spice Product_4</t>
  </si>
  <si>
    <t>Chilli flakes</t>
  </si>
  <si>
    <t>Peri Peri masala</t>
  </si>
  <si>
    <t>Biryani masala</t>
  </si>
  <si>
    <t>Garg_JDN</t>
  </si>
  <si>
    <t>Oregano</t>
  </si>
  <si>
    <t>Spice Product_1_ Chilli flakes</t>
  </si>
  <si>
    <t>Spice Product_2_ Biryani masala</t>
  </si>
  <si>
    <t>Spice Product_3_ Oregano</t>
  </si>
  <si>
    <t>Spice Product_4_ Peri Peri masala</t>
  </si>
  <si>
    <t>Arvind</t>
  </si>
  <si>
    <t>Rice Per Kg</t>
  </si>
  <si>
    <t>Spice Product_5</t>
  </si>
  <si>
    <t>Garam masala</t>
  </si>
  <si>
    <t>Chat Masala</t>
  </si>
  <si>
    <t>Black Pepper</t>
  </si>
  <si>
    <t>Salt</t>
  </si>
  <si>
    <t>Spice Product_6</t>
  </si>
  <si>
    <t>Spice Product_7</t>
  </si>
  <si>
    <t>Spice Product_8</t>
  </si>
  <si>
    <t>Vege Product_1</t>
  </si>
  <si>
    <t>Potato Per Kg</t>
  </si>
  <si>
    <t>Tomato Per Kg</t>
  </si>
  <si>
    <t>Onion Per Kg</t>
  </si>
  <si>
    <t>Capcium Per Kg</t>
  </si>
  <si>
    <t>Bines Per Kg</t>
  </si>
  <si>
    <t>Pansari Product_1</t>
  </si>
  <si>
    <t>Pansari Product_2</t>
  </si>
  <si>
    <t>Soya per kg</t>
  </si>
  <si>
    <t>Vege Product_2</t>
  </si>
  <si>
    <t>Vege Product_3</t>
  </si>
  <si>
    <t>Vege Product_4</t>
  </si>
  <si>
    <t>Vege Product_5</t>
  </si>
  <si>
    <t>Carrot Per Kg</t>
  </si>
  <si>
    <t>Vege Product_6</t>
  </si>
  <si>
    <t>Vege Product_7</t>
  </si>
  <si>
    <t>Vege Product_8</t>
  </si>
  <si>
    <t>Cabbage Per Kg</t>
  </si>
  <si>
    <t>Peas Per Kg</t>
  </si>
  <si>
    <t>Vege Product_9</t>
  </si>
  <si>
    <t>Sweet Corns Per Kg</t>
  </si>
  <si>
    <t>Mandi</t>
  </si>
  <si>
    <t>Pizaa Box10 Inch</t>
  </si>
  <si>
    <t>Packing_Product_1</t>
  </si>
  <si>
    <t>Packing_Product_2</t>
  </si>
  <si>
    <t>Packing_Product_3</t>
  </si>
  <si>
    <t>Packing_Product_4</t>
  </si>
  <si>
    <t>Packing_Product_5</t>
  </si>
  <si>
    <t>Pizaa Box7 Inch</t>
  </si>
  <si>
    <t>Burger Box</t>
  </si>
  <si>
    <t>Sandwich Box</t>
  </si>
  <si>
    <t>wrap Box</t>
  </si>
  <si>
    <t>Prit Vihar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</si>
</sst>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4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3" borderId="1" xfId="0" applyFill="1" applyBorder="1"/>
    <xf numFmtId="0" fontId="0" fillId="4" borderId="1" xfId="0" applyFill="1" applyBorder="1"/>
    <xf numFmtId="14" fontId="0" fillId="4" borderId="1" xfId="0" applyNumberFormat="1" applyFill="1" applyBorder="1"/>
    <xf numFmtId="0" fontId="2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1"/>
  <sheetViews>
    <sheetView tabSelected="1" topLeftCell="A25" workbookViewId="0">
      <selection activeCell="F33" sqref="F33"/>
    </sheetView>
  </sheetViews>
  <sheetFormatPr defaultRowHeight="14.5" x14ac:dyDescent="0.35"/>
  <cols>
    <col min="1" max="1" width="16.54296875" bestFit="1" customWidth="1"/>
    <col min="2" max="2" width="18.7265625" bestFit="1" customWidth="1"/>
    <col min="3" max="3" width="31.54296875" bestFit="1" customWidth="1"/>
    <col min="4" max="4" width="18.7265625" bestFit="1" customWidth="1"/>
  </cols>
  <sheetData>
    <row r="1" spans="1:6" x14ac:dyDescent="0.35">
      <c r="A1" t="s">
        <v>26</v>
      </c>
      <c r="B1" t="s">
        <v>1</v>
      </c>
      <c r="C1" t="s">
        <v>0</v>
      </c>
      <c r="D1" t="s">
        <v>1</v>
      </c>
      <c r="E1" t="s">
        <v>3</v>
      </c>
      <c r="F1" t="s">
        <v>5</v>
      </c>
    </row>
    <row r="2" spans="1:6" x14ac:dyDescent="0.35">
      <c r="A2" t="s">
        <v>17</v>
      </c>
      <c r="B2" t="s">
        <v>9</v>
      </c>
      <c r="C2" t="str">
        <f>A2 &amp; "_ " &amp; B2</f>
        <v>Milk Product_1_ Cheese Mozorella</v>
      </c>
      <c r="D2" t="s">
        <v>9</v>
      </c>
      <c r="E2" t="s">
        <v>40</v>
      </c>
      <c r="F2">
        <v>535</v>
      </c>
    </row>
    <row r="3" spans="1:6" x14ac:dyDescent="0.35">
      <c r="A3" t="s">
        <v>18</v>
      </c>
      <c r="B3" t="s">
        <v>2</v>
      </c>
      <c r="C3" t="str">
        <f t="shared" ref="C3:C25" si="0">A3 &amp; "_ " &amp; B3</f>
        <v>Milk Product_2_ Butter</v>
      </c>
      <c r="D3" t="s">
        <v>2</v>
      </c>
      <c r="E3" t="s">
        <v>40</v>
      </c>
      <c r="F3">
        <v>290</v>
      </c>
    </row>
    <row r="4" spans="1:6" x14ac:dyDescent="0.35">
      <c r="A4" t="s">
        <v>19</v>
      </c>
      <c r="B4" t="s">
        <v>10</v>
      </c>
      <c r="C4" t="str">
        <f t="shared" si="0"/>
        <v>Milk Product_3_ Cheese Liquid</v>
      </c>
      <c r="D4" t="s">
        <v>10</v>
      </c>
      <c r="E4" t="s">
        <v>41</v>
      </c>
      <c r="F4">
        <v>180</v>
      </c>
    </row>
    <row r="5" spans="1:6" x14ac:dyDescent="0.35">
      <c r="A5" t="s">
        <v>20</v>
      </c>
      <c r="B5" t="s">
        <v>11</v>
      </c>
      <c r="C5" t="str">
        <f t="shared" si="0"/>
        <v>Milk Product_4_ Cheese Slice</v>
      </c>
      <c r="D5" t="s">
        <v>11</v>
      </c>
      <c r="E5" t="s">
        <v>40</v>
      </c>
      <c r="F5">
        <v>109</v>
      </c>
    </row>
    <row r="6" spans="1:6" x14ac:dyDescent="0.35">
      <c r="A6" t="s">
        <v>36</v>
      </c>
      <c r="B6" t="s">
        <v>46</v>
      </c>
      <c r="C6" t="str">
        <f t="shared" si="0"/>
        <v>Milk Product_5_ Paneer per kg</v>
      </c>
      <c r="D6" t="s">
        <v>46</v>
      </c>
      <c r="E6" t="s">
        <v>42</v>
      </c>
      <c r="F6">
        <v>330</v>
      </c>
    </row>
    <row r="7" spans="1:6" x14ac:dyDescent="0.35">
      <c r="A7" t="s">
        <v>21</v>
      </c>
      <c r="B7" t="s">
        <v>15</v>
      </c>
      <c r="C7" t="str">
        <f t="shared" si="0"/>
        <v>Bread Product_1_ Jambo_Bread</v>
      </c>
      <c r="D7" t="s">
        <v>15</v>
      </c>
      <c r="E7" t="s">
        <v>43</v>
      </c>
      <c r="F7">
        <v>70</v>
      </c>
    </row>
    <row r="8" spans="1:6" x14ac:dyDescent="0.35">
      <c r="A8" t="s">
        <v>22</v>
      </c>
      <c r="B8" t="s">
        <v>12</v>
      </c>
      <c r="C8" t="str">
        <f t="shared" si="0"/>
        <v>Bread Product_2_ Pizaa Base 10 inch</v>
      </c>
      <c r="D8" t="s">
        <v>12</v>
      </c>
      <c r="E8" t="s">
        <v>44</v>
      </c>
      <c r="F8">
        <v>40</v>
      </c>
    </row>
    <row r="9" spans="1:6" x14ac:dyDescent="0.35">
      <c r="A9" t="s">
        <v>23</v>
      </c>
      <c r="B9" t="s">
        <v>13</v>
      </c>
      <c r="C9" t="str">
        <f t="shared" si="0"/>
        <v>Bread Product_3_ Pizaa Base 7 inch</v>
      </c>
      <c r="D9" t="s">
        <v>13</v>
      </c>
      <c r="E9" t="s">
        <v>44</v>
      </c>
      <c r="F9">
        <v>40</v>
      </c>
    </row>
    <row r="10" spans="1:6" x14ac:dyDescent="0.35">
      <c r="A10" t="s">
        <v>24</v>
      </c>
      <c r="B10" t="s">
        <v>14</v>
      </c>
      <c r="C10" t="str">
        <f t="shared" si="0"/>
        <v>Bread Product_4_ Burgure</v>
      </c>
      <c r="D10" t="s">
        <v>14</v>
      </c>
      <c r="E10" t="s">
        <v>45</v>
      </c>
      <c r="F10">
        <v>45</v>
      </c>
    </row>
    <row r="11" spans="1:6" x14ac:dyDescent="0.35">
      <c r="A11" t="s">
        <v>25</v>
      </c>
      <c r="B11" t="s">
        <v>16</v>
      </c>
      <c r="C11" t="str">
        <f t="shared" si="0"/>
        <v>Bread Product_5_ Totrilla_Wrap</v>
      </c>
      <c r="D11" t="s">
        <v>16</v>
      </c>
      <c r="E11" t="s">
        <v>41</v>
      </c>
      <c r="F11">
        <v>80</v>
      </c>
    </row>
    <row r="12" spans="1:6" x14ac:dyDescent="0.35">
      <c r="A12" t="s">
        <v>27</v>
      </c>
      <c r="B12" t="s">
        <v>33</v>
      </c>
      <c r="C12" t="str">
        <f t="shared" si="0"/>
        <v>Sauces Product_1_ Mayonnaise_white</v>
      </c>
      <c r="D12" t="s">
        <v>33</v>
      </c>
      <c r="E12" t="s">
        <v>41</v>
      </c>
      <c r="F12">
        <v>110</v>
      </c>
    </row>
    <row r="13" spans="1:6" x14ac:dyDescent="0.35">
      <c r="A13" t="s">
        <v>28</v>
      </c>
      <c r="B13" t="s">
        <v>34</v>
      </c>
      <c r="C13" t="str">
        <f t="shared" si="0"/>
        <v>Sauces Product_2_ Tandoori_Mayonnise</v>
      </c>
      <c r="D13" t="s">
        <v>34</v>
      </c>
      <c r="E13" t="s">
        <v>41</v>
      </c>
      <c r="F13">
        <v>180</v>
      </c>
    </row>
    <row r="14" spans="1:6" x14ac:dyDescent="0.35">
      <c r="A14" t="s">
        <v>29</v>
      </c>
      <c r="B14" t="s">
        <v>35</v>
      </c>
      <c r="C14" t="str">
        <f t="shared" si="0"/>
        <v>Sauces Product_3_ Pizaapasta</v>
      </c>
      <c r="D14" t="s">
        <v>35</v>
      </c>
      <c r="E14" t="s">
        <v>41</v>
      </c>
      <c r="F14">
        <v>160</v>
      </c>
    </row>
    <row r="15" spans="1:6" x14ac:dyDescent="0.35">
      <c r="A15" t="s">
        <v>30</v>
      </c>
      <c r="B15" t="s">
        <v>37</v>
      </c>
      <c r="C15" t="str">
        <f t="shared" si="0"/>
        <v>Sauces Product_4_ Siracha</v>
      </c>
      <c r="D15" t="s">
        <v>37</v>
      </c>
      <c r="E15" t="s">
        <v>40</v>
      </c>
      <c r="F15">
        <v>210</v>
      </c>
    </row>
    <row r="16" spans="1:6" x14ac:dyDescent="0.35">
      <c r="A16" t="s">
        <v>31</v>
      </c>
      <c r="B16" t="s">
        <v>38</v>
      </c>
      <c r="C16" t="str">
        <f t="shared" si="0"/>
        <v>Sauces Product_5_ Salsa</v>
      </c>
      <c r="D16" t="s">
        <v>38</v>
      </c>
      <c r="E16" t="s">
        <v>40</v>
      </c>
      <c r="F16">
        <v>151</v>
      </c>
    </row>
    <row r="17" spans="1:6" x14ac:dyDescent="0.35">
      <c r="A17" t="s">
        <v>32</v>
      </c>
      <c r="B17" t="s">
        <v>39</v>
      </c>
      <c r="C17" t="str">
        <f t="shared" si="0"/>
        <v>Sauces Product_6_ Tomato ketchup</v>
      </c>
      <c r="D17" t="s">
        <v>39</v>
      </c>
      <c r="E17" t="s">
        <v>41</v>
      </c>
      <c r="F17">
        <v>90</v>
      </c>
    </row>
    <row r="18" spans="1:6" x14ac:dyDescent="0.35">
      <c r="A18" t="s">
        <v>64</v>
      </c>
      <c r="B18" t="s">
        <v>68</v>
      </c>
      <c r="C18" t="str">
        <f t="shared" si="0"/>
        <v>Spice Product_1_ Chilli flakes</v>
      </c>
      <c r="D18" t="s">
        <v>68</v>
      </c>
      <c r="E18" t="s">
        <v>41</v>
      </c>
      <c r="F18">
        <v>180</v>
      </c>
    </row>
    <row r="19" spans="1:6" x14ac:dyDescent="0.35">
      <c r="A19" t="s">
        <v>65</v>
      </c>
      <c r="B19" t="s">
        <v>70</v>
      </c>
      <c r="C19" t="str">
        <f t="shared" si="0"/>
        <v>Spice Product_2_ Biryani masala</v>
      </c>
      <c r="D19" t="s">
        <v>70</v>
      </c>
      <c r="E19" t="s">
        <v>71</v>
      </c>
      <c r="F19">
        <v>45</v>
      </c>
    </row>
    <row r="20" spans="1:6" x14ac:dyDescent="0.35">
      <c r="A20" t="s">
        <v>66</v>
      </c>
      <c r="B20" t="s">
        <v>72</v>
      </c>
      <c r="C20" t="str">
        <f t="shared" si="0"/>
        <v>Spice Product_3_ Oregano</v>
      </c>
      <c r="D20" t="s">
        <v>72</v>
      </c>
      <c r="E20" t="s">
        <v>41</v>
      </c>
      <c r="F20">
        <v>180</v>
      </c>
    </row>
    <row r="21" spans="1:6" x14ac:dyDescent="0.35">
      <c r="A21" t="s">
        <v>67</v>
      </c>
      <c r="B21" t="s">
        <v>69</v>
      </c>
      <c r="C21" t="str">
        <f t="shared" si="0"/>
        <v>Spice Product_4_ Peri Peri masala</v>
      </c>
      <c r="D21" t="s">
        <v>69</v>
      </c>
      <c r="E21" t="s">
        <v>71</v>
      </c>
      <c r="F21">
        <v>125</v>
      </c>
    </row>
    <row r="22" spans="1:6" x14ac:dyDescent="0.35">
      <c r="A22" t="s">
        <v>79</v>
      </c>
      <c r="B22" t="s">
        <v>80</v>
      </c>
      <c r="C22" t="str">
        <f t="shared" si="0"/>
        <v>Spice Product_5_ Garam masala</v>
      </c>
      <c r="D22" t="s">
        <v>80</v>
      </c>
      <c r="E22" t="s">
        <v>71</v>
      </c>
    </row>
    <row r="23" spans="1:6" x14ac:dyDescent="0.35">
      <c r="A23" t="s">
        <v>84</v>
      </c>
      <c r="B23" t="s">
        <v>81</v>
      </c>
      <c r="C23" t="str">
        <f t="shared" si="0"/>
        <v>Spice Product_6_ Chat Masala</v>
      </c>
      <c r="D23" t="s">
        <v>81</v>
      </c>
      <c r="E23" t="s">
        <v>71</v>
      </c>
    </row>
    <row r="24" spans="1:6" x14ac:dyDescent="0.35">
      <c r="A24" t="s">
        <v>85</v>
      </c>
      <c r="B24" t="s">
        <v>82</v>
      </c>
      <c r="C24" t="str">
        <f t="shared" si="0"/>
        <v>Spice Product_7_ Black Pepper</v>
      </c>
      <c r="D24" t="s">
        <v>82</v>
      </c>
      <c r="E24" t="s">
        <v>71</v>
      </c>
    </row>
    <row r="25" spans="1:6" x14ac:dyDescent="0.35">
      <c r="A25" t="s">
        <v>86</v>
      </c>
      <c r="B25" t="s">
        <v>83</v>
      </c>
      <c r="C25" t="str">
        <f t="shared" si="0"/>
        <v>Spice Product_8_ Salt</v>
      </c>
      <c r="D25" t="s">
        <v>83</v>
      </c>
      <c r="E25" t="s">
        <v>71</v>
      </c>
    </row>
    <row r="26" spans="1:6" x14ac:dyDescent="0.35">
      <c r="A26" t="s">
        <v>93</v>
      </c>
      <c r="B26" t="s">
        <v>95</v>
      </c>
      <c r="C26" t="str">
        <f>A26 &amp; "_ " &amp; B26</f>
        <v>Pansari Product_1_ Soya per kg</v>
      </c>
      <c r="D26" t="s">
        <v>95</v>
      </c>
      <c r="E26" t="s">
        <v>77</v>
      </c>
    </row>
    <row r="27" spans="1:6" x14ac:dyDescent="0.35">
      <c r="A27" t="s">
        <v>94</v>
      </c>
      <c r="B27" t="s">
        <v>78</v>
      </c>
      <c r="C27" t="str">
        <f>A27 &amp; "_ " &amp; B27</f>
        <v>Pansari Product_2_ Rice Per Kg</v>
      </c>
      <c r="D27" t="s">
        <v>78</v>
      </c>
      <c r="E27" t="s">
        <v>77</v>
      </c>
    </row>
    <row r="28" spans="1:6" x14ac:dyDescent="0.35">
      <c r="A28" t="s">
        <v>87</v>
      </c>
      <c r="B28" t="s">
        <v>88</v>
      </c>
      <c r="C28" t="str">
        <f>A28 &amp; "_ " &amp; B28</f>
        <v>Vege Product_1_ Potato Per Kg</v>
      </c>
      <c r="D28" t="s">
        <v>88</v>
      </c>
      <c r="E28" t="s">
        <v>108</v>
      </c>
    </row>
    <row r="29" spans="1:6" x14ac:dyDescent="0.35">
      <c r="A29" t="s">
        <v>96</v>
      </c>
      <c r="B29" t="s">
        <v>89</v>
      </c>
      <c r="C29" t="str">
        <f t="shared" ref="C29:C33" si="1">A29 &amp; "_ " &amp; B29</f>
        <v>Vege Product_2_ Tomato Per Kg</v>
      </c>
      <c r="D29" t="s">
        <v>89</v>
      </c>
      <c r="E29" t="s">
        <v>108</v>
      </c>
    </row>
    <row r="30" spans="1:6" x14ac:dyDescent="0.35">
      <c r="A30" t="s">
        <v>97</v>
      </c>
      <c r="B30" t="s">
        <v>90</v>
      </c>
      <c r="C30" t="str">
        <f t="shared" si="1"/>
        <v>Vege Product_3_ Onion Per Kg</v>
      </c>
      <c r="D30" t="s">
        <v>90</v>
      </c>
      <c r="E30" t="s">
        <v>108</v>
      </c>
    </row>
    <row r="31" spans="1:6" x14ac:dyDescent="0.35">
      <c r="A31" t="s">
        <v>98</v>
      </c>
      <c r="B31" t="s">
        <v>91</v>
      </c>
      <c r="C31" t="str">
        <f t="shared" si="1"/>
        <v>Vege Product_4_ Capcium Per Kg</v>
      </c>
      <c r="D31" t="s">
        <v>91</v>
      </c>
      <c r="E31" t="s">
        <v>108</v>
      </c>
    </row>
    <row r="32" spans="1:6" x14ac:dyDescent="0.35">
      <c r="A32" t="s">
        <v>99</v>
      </c>
      <c r="B32" t="s">
        <v>92</v>
      </c>
      <c r="C32" t="str">
        <f t="shared" si="1"/>
        <v>Vege Product_5_ Bines Per Kg</v>
      </c>
      <c r="D32" t="s">
        <v>92</v>
      </c>
      <c r="E32" t="s">
        <v>108</v>
      </c>
    </row>
    <row r="33" spans="1:5" x14ac:dyDescent="0.35">
      <c r="A33" t="s">
        <v>101</v>
      </c>
      <c r="B33" t="s">
        <v>100</v>
      </c>
      <c r="C33" t="str">
        <f t="shared" si="1"/>
        <v>Vege Product_6_ Carrot Per Kg</v>
      </c>
      <c r="D33" t="s">
        <v>100</v>
      </c>
      <c r="E33" t="s">
        <v>108</v>
      </c>
    </row>
    <row r="34" spans="1:5" x14ac:dyDescent="0.35">
      <c r="A34" t="s">
        <v>102</v>
      </c>
      <c r="B34" t="s">
        <v>104</v>
      </c>
      <c r="C34" t="str">
        <f t="shared" ref="C34" si="2">A34 &amp; "_ " &amp; B34</f>
        <v>Vege Product_7_ Cabbage Per Kg</v>
      </c>
      <c r="D34" t="s">
        <v>100</v>
      </c>
      <c r="E34" t="s">
        <v>108</v>
      </c>
    </row>
    <row r="35" spans="1:5" x14ac:dyDescent="0.35">
      <c r="A35" t="s">
        <v>103</v>
      </c>
      <c r="B35" t="s">
        <v>105</v>
      </c>
      <c r="C35" t="str">
        <f t="shared" ref="C35:C41" si="3">A35 &amp; "_ " &amp; B35</f>
        <v>Vege Product_8_ Peas Per Kg</v>
      </c>
      <c r="D35" t="s">
        <v>100</v>
      </c>
      <c r="E35" t="s">
        <v>108</v>
      </c>
    </row>
    <row r="36" spans="1:5" x14ac:dyDescent="0.35">
      <c r="A36" t="s">
        <v>106</v>
      </c>
      <c r="B36" t="s">
        <v>107</v>
      </c>
      <c r="C36" t="str">
        <f t="shared" si="3"/>
        <v>Vege Product_9_ Sweet Corns Per Kg</v>
      </c>
      <c r="D36" t="s">
        <v>107</v>
      </c>
      <c r="E36" t="s">
        <v>108</v>
      </c>
    </row>
    <row r="37" spans="1:5" x14ac:dyDescent="0.35">
      <c r="A37" t="s">
        <v>110</v>
      </c>
      <c r="B37" t="s">
        <v>109</v>
      </c>
      <c r="C37" t="str">
        <f t="shared" si="3"/>
        <v>Packing_Product_1_ Pizaa Box10 Inch</v>
      </c>
      <c r="D37" t="s">
        <v>109</v>
      </c>
      <c r="E37" t="s">
        <v>119</v>
      </c>
    </row>
    <row r="38" spans="1:5" x14ac:dyDescent="0.35">
      <c r="A38" t="s">
        <v>111</v>
      </c>
      <c r="B38" t="s">
        <v>115</v>
      </c>
      <c r="C38" t="str">
        <f t="shared" si="3"/>
        <v>Packing_Product_2_ Pizaa Box7 Inch</v>
      </c>
      <c r="D38" t="s">
        <v>115</v>
      </c>
      <c r="E38" t="s">
        <v>119</v>
      </c>
    </row>
    <row r="39" spans="1:5" x14ac:dyDescent="0.35">
      <c r="A39" t="s">
        <v>112</v>
      </c>
      <c r="B39" t="s">
        <v>116</v>
      </c>
      <c r="C39" t="str">
        <f t="shared" si="3"/>
        <v>Packing_Product_3_ Burger Box</v>
      </c>
      <c r="D39" t="s">
        <v>116</v>
      </c>
      <c r="E39" t="s">
        <v>119</v>
      </c>
    </row>
    <row r="40" spans="1:5" x14ac:dyDescent="0.35">
      <c r="A40" t="s">
        <v>113</v>
      </c>
      <c r="B40" t="s">
        <v>117</v>
      </c>
      <c r="C40" t="str">
        <f t="shared" si="3"/>
        <v>Packing_Product_4_ Sandwich Box</v>
      </c>
      <c r="D40" t="s">
        <v>117</v>
      </c>
      <c r="E40" t="s">
        <v>119</v>
      </c>
    </row>
    <row r="41" spans="1:5" x14ac:dyDescent="0.35">
      <c r="A41" t="s">
        <v>114</v>
      </c>
      <c r="B41" t="s">
        <v>118</v>
      </c>
      <c r="C41" t="str">
        <f t="shared" si="3"/>
        <v>Packing_Product_5_ wrap Box</v>
      </c>
      <c r="D41" t="s">
        <v>118</v>
      </c>
      <c r="E41" t="s">
        <v>119</v>
      </c>
    </row>
  </sheetData>
  <phoneticPr fontId="1" type="noConversion"/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C008703F-9B4F-49F2-8032-3E29F4B7F436}">
          <x14:formula1>
            <xm:f>Sheet1!$A$2:$A$9</xm:f>
          </x14:formula1>
          <xm:sqref>E2:E27</xm:sqref>
        </x14:dataValidation>
        <x14:dataValidation type="list" allowBlank="1" showInputMessage="1" showErrorMessage="1" xr:uid="{57CC6E88-3151-4CA6-B281-E1277F68107C}">
          <x14:formula1>
            <xm:f>Sheet1!$A:$A</xm:f>
          </x14:formula1>
          <xm:sqref>E28:E36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69342A-B3B6-40C7-94E0-BA4758EFD060}">
  <dimension ref="A1:A10"/>
  <sheetViews>
    <sheetView workbookViewId="0">
      <selection sqref="A1:A1048576"/>
    </sheetView>
  </sheetViews>
  <sheetFormatPr defaultRowHeight="14.5" x14ac:dyDescent="0.35"/>
  <sheetData>
    <row r="1" spans="1:1" x14ac:dyDescent="0.35">
      <c r="A1" t="s">
        <v>3</v>
      </c>
    </row>
    <row r="2" spans="1:1" x14ac:dyDescent="0.35">
      <c r="A2" t="s">
        <v>40</v>
      </c>
    </row>
    <row r="3" spans="1:1" x14ac:dyDescent="0.35">
      <c r="A3" t="s">
        <v>41</v>
      </c>
    </row>
    <row r="4" spans="1:1" x14ac:dyDescent="0.35">
      <c r="A4" t="s">
        <v>42</v>
      </c>
    </row>
    <row r="5" spans="1:1" x14ac:dyDescent="0.35">
      <c r="A5" t="s">
        <v>43</v>
      </c>
    </row>
    <row r="6" spans="1:1" x14ac:dyDescent="0.35">
      <c r="A6" t="s">
        <v>44</v>
      </c>
    </row>
    <row r="7" spans="1:1" x14ac:dyDescent="0.35">
      <c r="A7" t="s">
        <v>45</v>
      </c>
    </row>
    <row r="8" spans="1:1" x14ac:dyDescent="0.35">
      <c r="A8" t="s">
        <v>71</v>
      </c>
    </row>
    <row r="9" spans="1:1" x14ac:dyDescent="0.35">
      <c r="A9" t="s">
        <v>77</v>
      </c>
    </row>
    <row r="10" spans="1:1" x14ac:dyDescent="0.35">
      <c r="A10" t="s">
        <v>108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4"/>
  <sheetViews>
    <sheetView topLeftCell="A4" workbookViewId="0">
      <selection activeCell="B18" sqref="B18"/>
    </sheetView>
  </sheetViews>
  <sheetFormatPr defaultRowHeight="14.5" x14ac:dyDescent="0.35"/>
  <cols>
    <col min="1" max="1" width="11.90625" bestFit="1" customWidth="1"/>
    <col min="2" max="2" width="35.08984375" bestFit="1" customWidth="1"/>
    <col min="3" max="3" width="18.7265625" bestFit="1" customWidth="1"/>
    <col min="4" max="4" width="15.1796875" bestFit="1" customWidth="1"/>
    <col min="5" max="5" width="6.08984375" bestFit="1" customWidth="1"/>
    <col min="6" max="6" width="10" bestFit="1" customWidth="1"/>
    <col min="7" max="7" width="18.7265625" bestFit="1" customWidth="1"/>
    <col min="8" max="8" width="7.08984375" bestFit="1" customWidth="1"/>
    <col min="9" max="9" width="6.1796875" bestFit="1" customWidth="1"/>
  </cols>
  <sheetData>
    <row r="1" spans="1:9" ht="18.5" x14ac:dyDescent="0.45">
      <c r="A1" s="4" t="s">
        <v>63</v>
      </c>
      <c r="B1" s="4" t="s">
        <v>0</v>
      </c>
      <c r="C1" s="4" t="s">
        <v>1</v>
      </c>
      <c r="D1" s="4" t="s">
        <v>3</v>
      </c>
      <c r="E1" s="4" t="s">
        <v>5</v>
      </c>
      <c r="F1" s="4" t="s">
        <v>4</v>
      </c>
      <c r="G1" s="4" t="s">
        <v>6</v>
      </c>
      <c r="H1" s="4" t="s">
        <v>7</v>
      </c>
      <c r="I1" s="4" t="s">
        <v>8</v>
      </c>
    </row>
    <row r="2" spans="1:9" x14ac:dyDescent="0.35">
      <c r="A2" s="1">
        <v>1</v>
      </c>
      <c r="B2" s="2" t="s">
        <v>47</v>
      </c>
      <c r="C2" s="2" t="str">
        <f>VLOOKUP($B2,'Product List'!$C:$F,{2,3,4},)</f>
        <v>Cheese Mozorella</v>
      </c>
      <c r="D2" s="2" t="str">
        <f>VLOOKUP($B2,'Product List'!$C:$F,{3},)</f>
        <v>Blink IT</v>
      </c>
      <c r="E2" s="2">
        <f>VLOOKUP($B2,'Product List'!$C:$F,4,)</f>
        <v>535</v>
      </c>
      <c r="F2" s="2">
        <v>1</v>
      </c>
      <c r="G2" s="3">
        <v>45991</v>
      </c>
      <c r="H2" s="2"/>
      <c r="I2" s="2">
        <f>F2*E2</f>
        <v>535</v>
      </c>
    </row>
    <row r="3" spans="1:9" x14ac:dyDescent="0.35">
      <c r="A3" s="1">
        <v>2</v>
      </c>
      <c r="B3" s="2" t="s">
        <v>48</v>
      </c>
      <c r="C3" s="2" t="str">
        <f>VLOOKUP($B3,'Product List'!$C:$F,{2,3,4},)</f>
        <v>Butter</v>
      </c>
      <c r="D3" s="2" t="str">
        <f>VLOOKUP($B3,'Product List'!$C:$F,{3},)</f>
        <v>Blink IT</v>
      </c>
      <c r="E3" s="2">
        <f>VLOOKUP($B3,'Product List'!$C:$F,4,)</f>
        <v>290</v>
      </c>
      <c r="F3" s="2">
        <v>1</v>
      </c>
      <c r="G3" s="3">
        <v>45991</v>
      </c>
      <c r="H3" s="2"/>
      <c r="I3" s="2">
        <f>F3*E3</f>
        <v>290</v>
      </c>
    </row>
    <row r="4" spans="1:9" x14ac:dyDescent="0.35">
      <c r="A4" s="1">
        <v>3</v>
      </c>
      <c r="B4" s="2" t="s">
        <v>49</v>
      </c>
      <c r="C4" s="2" t="str">
        <f>VLOOKUP($B4,'Product List'!$C:$F,{2,3,4},)</f>
        <v>Cheese Liquid</v>
      </c>
      <c r="D4" s="2" t="str">
        <f>VLOOKUP($B4,'Product List'!$C:$F,{3},)</f>
        <v>Kailash_Mandir</v>
      </c>
      <c r="E4" s="2">
        <f>VLOOKUP($B4,'Product List'!$C:$F,4,)</f>
        <v>180</v>
      </c>
      <c r="F4" s="2">
        <v>1</v>
      </c>
      <c r="G4" s="3">
        <v>45991</v>
      </c>
      <c r="H4" s="2"/>
      <c r="I4" s="2">
        <f>F4*E4</f>
        <v>180</v>
      </c>
    </row>
    <row r="5" spans="1:9" x14ac:dyDescent="0.35">
      <c r="A5" s="1">
        <v>4</v>
      </c>
      <c r="B5" s="2" t="s">
        <v>50</v>
      </c>
      <c r="C5" s="2" t="str">
        <f>VLOOKUP($B5,'Product List'!$C:$F,{2,3,4},)</f>
        <v>Cheese Slice</v>
      </c>
      <c r="D5" s="2" t="str">
        <f>VLOOKUP($B5,'Product List'!$C:$F,{3},)</f>
        <v>Blink IT</v>
      </c>
      <c r="E5" s="2">
        <f>VLOOKUP($B5,'Product List'!$C:$F,4,)</f>
        <v>109</v>
      </c>
      <c r="F5" s="2">
        <v>1</v>
      </c>
      <c r="G5" s="3">
        <v>45991</v>
      </c>
      <c r="H5" s="2"/>
      <c r="I5" s="2">
        <f>F5*E5</f>
        <v>109</v>
      </c>
    </row>
    <row r="6" spans="1:9" x14ac:dyDescent="0.35">
      <c r="A6" s="1">
        <v>5</v>
      </c>
      <c r="B6" s="2" t="s">
        <v>51</v>
      </c>
      <c r="C6" s="2" t="str">
        <f>VLOOKUP($B6,'Product List'!$C:$F,{2,3,4},)</f>
        <v>Paneer per kg</v>
      </c>
      <c r="D6" s="2" t="str">
        <f>VLOOKUP($B6,'Product List'!$C:$F,{3},)</f>
        <v>Shiv Dairy</v>
      </c>
      <c r="E6" s="2">
        <f>VLOOKUP($B6,'Product List'!$C:$F,4,)</f>
        <v>330</v>
      </c>
      <c r="F6" s="2">
        <v>2</v>
      </c>
      <c r="G6" s="3">
        <v>45991</v>
      </c>
      <c r="H6" s="2"/>
      <c r="I6" s="2">
        <f>E6/F6</f>
        <v>165</v>
      </c>
    </row>
    <row r="7" spans="1:9" x14ac:dyDescent="0.35">
      <c r="A7" s="1">
        <v>6</v>
      </c>
      <c r="B7" s="2" t="s">
        <v>52</v>
      </c>
      <c r="C7" s="2" t="str">
        <f>VLOOKUP($B7,'Product List'!$C:$F,{2,3,4},)</f>
        <v>Jambo_Bread</v>
      </c>
      <c r="D7" s="2" t="str">
        <f>VLOOKUP($B7,'Product List'!$C:$F,{3},)</f>
        <v>Gupta Ji</v>
      </c>
      <c r="E7" s="2">
        <f>VLOOKUP($B7,'Product List'!$C:$F,4,)</f>
        <v>70</v>
      </c>
      <c r="F7" s="2">
        <v>1</v>
      </c>
      <c r="G7" s="3">
        <v>45991</v>
      </c>
      <c r="H7" s="2"/>
      <c r="I7" s="2">
        <f>F7*E7</f>
        <v>70</v>
      </c>
    </row>
    <row r="8" spans="1:9" x14ac:dyDescent="0.35">
      <c r="A8" s="1">
        <v>7</v>
      </c>
      <c r="B8" s="2" t="s">
        <v>53</v>
      </c>
      <c r="C8" s="2" t="str">
        <f>VLOOKUP($B8,'Product List'!$C:$F,{2,3,4},)</f>
        <v>Pizaa Base 10 inch</v>
      </c>
      <c r="D8" s="2" t="str">
        <f>VLOOKUP($B8,'Product List'!$C:$F,{3},)</f>
        <v>Delicious Brakrey</v>
      </c>
      <c r="E8" s="2">
        <f>VLOOKUP($B8,'Product List'!$C:$F,4,)</f>
        <v>40</v>
      </c>
      <c r="F8" s="2">
        <v>1</v>
      </c>
      <c r="G8" s="3">
        <v>45991</v>
      </c>
      <c r="H8" s="2"/>
      <c r="I8" s="2">
        <f>F8*E8</f>
        <v>40</v>
      </c>
    </row>
    <row r="9" spans="1:9" x14ac:dyDescent="0.35">
      <c r="A9" s="1">
        <v>8</v>
      </c>
      <c r="B9" s="2" t="s">
        <v>54</v>
      </c>
      <c r="C9" s="2" t="str">
        <f>VLOOKUP($B9,'Product List'!$C:$F,{2,3,4},)</f>
        <v>Pizaa Base 7 inch</v>
      </c>
      <c r="D9" s="2" t="str">
        <f>VLOOKUP($B9,'Product List'!$C:$F,{3},)</f>
        <v>Delicious Brakrey</v>
      </c>
      <c r="E9" s="2">
        <f>VLOOKUP($B9,'Product List'!$C:$F,4,)</f>
        <v>40</v>
      </c>
      <c r="F9" s="2">
        <v>1</v>
      </c>
      <c r="G9" s="3">
        <v>45991</v>
      </c>
      <c r="H9" s="2"/>
      <c r="I9" s="2">
        <f>F9*E9</f>
        <v>40</v>
      </c>
    </row>
    <row r="10" spans="1:9" x14ac:dyDescent="0.35">
      <c r="A10" s="1">
        <v>9</v>
      </c>
      <c r="B10" s="2" t="s">
        <v>55</v>
      </c>
      <c r="C10" s="2" t="str">
        <f>VLOOKUP($B10,'Product List'!$C:$F,{2,3,4},)</f>
        <v>Burgure</v>
      </c>
      <c r="D10" s="2" t="str">
        <f>VLOOKUP($B10,'Product List'!$C:$F,{3},)</f>
        <v xml:space="preserve">Amit </v>
      </c>
      <c r="E10" s="2">
        <f>VLOOKUP($B10,'Product List'!$C:$F,4,)</f>
        <v>45</v>
      </c>
      <c r="F10" s="2">
        <v>1</v>
      </c>
      <c r="G10" s="3">
        <v>45991</v>
      </c>
      <c r="H10" s="2"/>
      <c r="I10" s="2">
        <f>F10*E10</f>
        <v>45</v>
      </c>
    </row>
    <row r="11" spans="1:9" x14ac:dyDescent="0.35">
      <c r="A11" s="1">
        <v>10</v>
      </c>
      <c r="B11" s="2" t="s">
        <v>56</v>
      </c>
      <c r="C11" s="2" t="str">
        <f>VLOOKUP($B11,'Product List'!$C:$F,{2,3,4},)</f>
        <v>Totrilla_Wrap</v>
      </c>
      <c r="D11" s="2" t="str">
        <f>VLOOKUP($B11,'Product List'!$C:$F,{3},)</f>
        <v>Kailash_Mandir</v>
      </c>
      <c r="E11" s="2">
        <f>VLOOKUP($B11,'Product List'!$C:$F,4,)</f>
        <v>80</v>
      </c>
      <c r="F11" s="2">
        <v>1</v>
      </c>
      <c r="G11" s="3">
        <v>45991</v>
      </c>
      <c r="H11" s="2"/>
      <c r="I11" s="2">
        <f>F11*E11</f>
        <v>80</v>
      </c>
    </row>
    <row r="12" spans="1:9" x14ac:dyDescent="0.35">
      <c r="A12" s="1">
        <v>11</v>
      </c>
      <c r="B12" s="2" t="s">
        <v>57</v>
      </c>
      <c r="C12" s="2" t="str">
        <f>VLOOKUP($B12,'Product List'!$C:$F,{2,3,4},)</f>
        <v>Mayonnaise_white</v>
      </c>
      <c r="D12" s="2" t="str">
        <f>VLOOKUP($B12,'Product List'!$C:$F,{3},)</f>
        <v>Kailash_Mandir</v>
      </c>
      <c r="E12" s="2">
        <f>VLOOKUP($B12,'Product List'!$C:$F,4,)</f>
        <v>110</v>
      </c>
      <c r="F12" s="2">
        <v>1</v>
      </c>
      <c r="G12" s="3">
        <v>45991</v>
      </c>
      <c r="H12" s="2"/>
      <c r="I12" s="2">
        <f>F12*E12</f>
        <v>110</v>
      </c>
    </row>
    <row r="13" spans="1:9" x14ac:dyDescent="0.35">
      <c r="A13" s="1">
        <v>12</v>
      </c>
      <c r="B13" s="2" t="s">
        <v>58</v>
      </c>
      <c r="C13" s="2" t="str">
        <f>VLOOKUP($B13,'Product List'!$C:$F,{2,3,4},)</f>
        <v>Tandoori_Mayonnise</v>
      </c>
      <c r="D13" s="2" t="str">
        <f>VLOOKUP($B13,'Product List'!$C:$F,{3},)</f>
        <v>Kailash_Mandir</v>
      </c>
      <c r="E13" s="2">
        <f>VLOOKUP($B13,'Product List'!$C:$F,4,)</f>
        <v>180</v>
      </c>
      <c r="F13" s="2">
        <v>1</v>
      </c>
      <c r="G13" s="3">
        <v>45991</v>
      </c>
      <c r="H13" s="2"/>
      <c r="I13" s="2">
        <f>F13*E13</f>
        <v>180</v>
      </c>
    </row>
    <row r="14" spans="1:9" x14ac:dyDescent="0.35">
      <c r="A14" s="1">
        <v>13</v>
      </c>
      <c r="B14" s="2" t="s">
        <v>59</v>
      </c>
      <c r="C14" s="2" t="str">
        <f>VLOOKUP($B14,'Product List'!$C:$F,{2,3,4},)</f>
        <v>Pizaapasta</v>
      </c>
      <c r="D14" s="2" t="str">
        <f>VLOOKUP($B14,'Product List'!$C:$F,{3},)</f>
        <v>Kailash_Mandir</v>
      </c>
      <c r="E14" s="2">
        <f>VLOOKUP($B14,'Product List'!$C:$F,4,)</f>
        <v>160</v>
      </c>
      <c r="F14" s="2">
        <v>1</v>
      </c>
      <c r="G14" s="3">
        <v>45991</v>
      </c>
      <c r="H14" s="2"/>
      <c r="I14" s="2">
        <f>F14*E14</f>
        <v>160</v>
      </c>
    </row>
    <row r="15" spans="1:9" x14ac:dyDescent="0.35">
      <c r="A15" s="1">
        <v>14</v>
      </c>
      <c r="B15" s="2" t="s">
        <v>60</v>
      </c>
      <c r="C15" s="2" t="str">
        <f>VLOOKUP($B15,'Product List'!$C:$F,{2,3,4},)</f>
        <v>Siracha</v>
      </c>
      <c r="D15" s="2" t="str">
        <f>VLOOKUP($B15,'Product List'!$C:$F,{3},)</f>
        <v>Blink IT</v>
      </c>
      <c r="E15" s="2">
        <f>VLOOKUP($B15,'Product List'!$C:$F,4,)</f>
        <v>210</v>
      </c>
      <c r="F15" s="2">
        <v>1</v>
      </c>
      <c r="G15" s="3">
        <v>45991</v>
      </c>
      <c r="H15" s="2"/>
      <c r="I15" s="2">
        <f>F15*E15</f>
        <v>210</v>
      </c>
    </row>
    <row r="16" spans="1:9" x14ac:dyDescent="0.35">
      <c r="A16" s="1">
        <v>15</v>
      </c>
      <c r="B16" s="2" t="s">
        <v>61</v>
      </c>
      <c r="C16" s="2" t="str">
        <f>VLOOKUP($B16,'Product List'!$C:$F,{2,3,4},)</f>
        <v>Salsa</v>
      </c>
      <c r="D16" s="2" t="str">
        <f>VLOOKUP($B16,'Product List'!$C:$F,{3},)</f>
        <v>Blink IT</v>
      </c>
      <c r="E16" s="2">
        <f>VLOOKUP($B16,'Product List'!$C:$F,4,)</f>
        <v>151</v>
      </c>
      <c r="F16" s="2">
        <v>1</v>
      </c>
      <c r="G16" s="3">
        <v>45991</v>
      </c>
      <c r="H16" s="2"/>
      <c r="I16" s="2">
        <f>F16*E16</f>
        <v>151</v>
      </c>
    </row>
    <row r="17" spans="1:9" x14ac:dyDescent="0.35">
      <c r="A17" s="1">
        <v>16</v>
      </c>
      <c r="B17" s="2" t="s">
        <v>62</v>
      </c>
      <c r="C17" s="2" t="str">
        <f>VLOOKUP($B17,'Product List'!$C:$F,{2,3,4},)</f>
        <v>Tomato ketchup</v>
      </c>
      <c r="D17" s="2" t="str">
        <f>VLOOKUP($B17,'Product List'!$C:$F,{3},)</f>
        <v>Kailash_Mandir</v>
      </c>
      <c r="E17" s="2">
        <f>VLOOKUP($B17,'Product List'!$C:$F,4,)</f>
        <v>90</v>
      </c>
      <c r="F17" s="2">
        <v>1</v>
      </c>
      <c r="G17" s="3">
        <v>45991</v>
      </c>
      <c r="H17" s="2"/>
      <c r="I17" s="2">
        <f>F17*E17</f>
        <v>90</v>
      </c>
    </row>
    <row r="18" spans="1:9" x14ac:dyDescent="0.35">
      <c r="A18" s="1">
        <v>17</v>
      </c>
      <c r="B18" s="2" t="s">
        <v>73</v>
      </c>
      <c r="C18" s="2" t="str">
        <f>VLOOKUP($B18,'Product List'!$C:$F,{2,3,4},)</f>
        <v>Chilli flakes</v>
      </c>
      <c r="D18" s="2" t="str">
        <f>VLOOKUP($B18,'Product List'!$C:$F,{3},)</f>
        <v>Kailash_Mandir</v>
      </c>
      <c r="E18" s="2">
        <f>VLOOKUP($B18,'Product List'!$C:$F,4,)</f>
        <v>180</v>
      </c>
      <c r="F18" s="2">
        <v>1</v>
      </c>
      <c r="G18" s="3">
        <v>45991</v>
      </c>
      <c r="H18" s="2"/>
      <c r="I18" s="2">
        <f>F18*E18</f>
        <v>180</v>
      </c>
    </row>
    <row r="19" spans="1:9" x14ac:dyDescent="0.35">
      <c r="A19" s="1">
        <v>18</v>
      </c>
      <c r="B19" s="2" t="s">
        <v>74</v>
      </c>
      <c r="C19" s="2" t="str">
        <f>VLOOKUP($B19,'Product List'!$C:$F,{2,3,4},)</f>
        <v>Biryani masala</v>
      </c>
      <c r="D19" s="2" t="str">
        <f>VLOOKUP($B19,'Product List'!$C:$F,{3},)</f>
        <v>Garg_JDN</v>
      </c>
      <c r="E19" s="2">
        <f>VLOOKUP($B19,'Product List'!$C:$F,4,)</f>
        <v>45</v>
      </c>
      <c r="F19" s="2">
        <v>1</v>
      </c>
      <c r="G19" s="3">
        <v>45991</v>
      </c>
      <c r="H19" s="2"/>
      <c r="I19" s="2">
        <f>F19*E19</f>
        <v>45</v>
      </c>
    </row>
    <row r="20" spans="1:9" x14ac:dyDescent="0.35">
      <c r="A20" s="1">
        <v>19</v>
      </c>
      <c r="B20" s="2" t="s">
        <v>75</v>
      </c>
      <c r="C20" s="2" t="str">
        <f>VLOOKUP($B20,'Product List'!$C:$F,{2,3,4},)</f>
        <v>Oregano</v>
      </c>
      <c r="D20" s="2" t="str">
        <f>VLOOKUP($B20,'Product List'!$C:$F,{3},)</f>
        <v>Kailash_Mandir</v>
      </c>
      <c r="E20" s="2">
        <f>VLOOKUP($B20,'Product List'!$C:$F,4,)</f>
        <v>180</v>
      </c>
      <c r="F20" s="2">
        <v>1</v>
      </c>
      <c r="G20" s="3">
        <v>45991</v>
      </c>
      <c r="H20" s="2"/>
      <c r="I20" s="2">
        <f>F20*E20</f>
        <v>180</v>
      </c>
    </row>
    <row r="21" spans="1:9" x14ac:dyDescent="0.35">
      <c r="A21" s="1">
        <v>20</v>
      </c>
      <c r="B21" s="2" t="s">
        <v>76</v>
      </c>
      <c r="C21" s="2" t="str">
        <f>VLOOKUP($B21,'Product List'!$C:$F,{2,3,4},)</f>
        <v>Peri Peri masala</v>
      </c>
      <c r="D21" s="2" t="str">
        <f>VLOOKUP($B21,'Product List'!$C:$F,{3},)</f>
        <v>Garg_JDN</v>
      </c>
      <c r="E21" s="2">
        <f>VLOOKUP($B21,'Product List'!$C:$F,4,)</f>
        <v>125</v>
      </c>
      <c r="F21" s="2">
        <v>1</v>
      </c>
      <c r="G21" s="3">
        <v>45991</v>
      </c>
      <c r="H21" s="2"/>
      <c r="I21" s="2">
        <f>F21*E21</f>
        <v>125</v>
      </c>
    </row>
    <row r="22" spans="1:9" x14ac:dyDescent="0.35">
      <c r="A22" s="1">
        <v>21</v>
      </c>
      <c r="B22" s="2"/>
      <c r="C22" s="2" t="e">
        <f>VLOOKUP($B22,'Product List'!$C:$F,{2,3,4},)</f>
        <v>#N/A</v>
      </c>
      <c r="D22" s="2" t="e">
        <f>VLOOKUP($B22,'Product List'!$C:$F,{3},)</f>
        <v>#N/A</v>
      </c>
      <c r="E22" s="2" t="e">
        <f>VLOOKUP($B22,'Product List'!$C:$F,4,)</f>
        <v>#N/A</v>
      </c>
      <c r="F22" s="2"/>
      <c r="G22" s="3"/>
      <c r="H22" s="2"/>
      <c r="I22" s="2"/>
    </row>
    <row r="23" spans="1:9" x14ac:dyDescent="0.35">
      <c r="A23" s="1">
        <v>22</v>
      </c>
      <c r="B23" s="2"/>
      <c r="C23" s="2" t="e">
        <f>VLOOKUP($B23,'Product List'!$C:$F,{2,3,4},)</f>
        <v>#N/A</v>
      </c>
      <c r="D23" s="2" t="e">
        <f>VLOOKUP($B23,'Product List'!$C:$F,{3},)</f>
        <v>#N/A</v>
      </c>
      <c r="E23" s="2" t="e">
        <f>VLOOKUP($B23,'Product List'!$C:$F,4,)</f>
        <v>#N/A</v>
      </c>
      <c r="F23" s="2"/>
      <c r="G23" s="3"/>
      <c r="H23" s="2"/>
      <c r="I23" s="2"/>
    </row>
    <row r="24" spans="1:9" x14ac:dyDescent="0.35">
      <c r="A24" s="1">
        <v>23</v>
      </c>
      <c r="B24" s="2"/>
      <c r="C24" s="2" t="e">
        <f>VLOOKUP($B24,'Product List'!$C:$F,{2,3,4},)</f>
        <v>#N/A</v>
      </c>
      <c r="D24" s="2" t="e">
        <f>VLOOKUP($B24,'Product List'!$C:$F,{3},)</f>
        <v>#N/A</v>
      </c>
      <c r="E24" s="2" t="e">
        <f>VLOOKUP($B24,'Product List'!$C:$F,4,)</f>
        <v>#N/A</v>
      </c>
      <c r="F24" s="2"/>
      <c r="G24" s="3"/>
      <c r="H24" s="2"/>
      <c r="I24" s="2"/>
    </row>
  </sheetData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F33AB8F-6183-440B-A6DF-F56DAF41A330}">
          <x14:formula1>
            <xm:f>'Product List'!$C:$C</xm:f>
          </x14:formula1>
          <xm:sqref>B2:B139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Product List</vt:lpstr>
      <vt:lpstr>Sheet1</vt:lpstr>
      <vt:lpstr>Purchase Entries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Pushpinder singh</cp:lastModifiedBy>
  <dcterms:created xsi:type="dcterms:W3CDTF">2025-11-30T05:38:49Z</dcterms:created>
  <dcterms:modified xsi:type="dcterms:W3CDTF">2025-11-30T10:48:51Z</dcterms:modified>
</cp:coreProperties>
</file>